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 Tracker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,##0"/>
    <numFmt numFmtId="166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C2530"/>
      <sz val="10"/>
    </font>
    <font>
      <name val="Segoe UI"/>
      <b val="1"/>
      <color rgb="001C2530"/>
      <sz val="10"/>
    </font>
    <font>
      <name val="Segoe UI"/>
      <b val="1"/>
      <color rgb="00FFFFFF"/>
      <sz val="15"/>
    </font>
    <font>
      <name val="Segoe UI"/>
      <i val="1"/>
      <color rgb="00D0E1F9"/>
      <sz val="9.5"/>
    </font>
    <font>
      <name val="Segoe UI"/>
      <b val="1"/>
      <color rgb="005A6578"/>
      <sz val="8.5"/>
    </font>
    <font>
      <name val="Segoe UI"/>
      <b val="1"/>
      <color rgb="000F2537"/>
      <sz val="18"/>
    </font>
    <font>
      <name val="Segoe UI"/>
      <i val="1"/>
      <color rgb="005A6578"/>
      <sz val="8"/>
    </font>
    <font>
      <name val="Segoe UI"/>
      <b val="1"/>
      <color rgb="00B3261E"/>
      <sz val="18"/>
    </font>
    <font>
      <name val="Segoe UI"/>
      <b val="1"/>
      <color rgb="000F2537"/>
      <sz val="9.5"/>
    </font>
    <font>
      <name val="Segoe UI"/>
      <b val="1"/>
      <color rgb="005A6578"/>
      <sz val="7.5"/>
    </font>
    <font>
      <name val="Segoe UI"/>
      <b val="1"/>
      <color rgb="000F2537"/>
      <sz val="13"/>
    </font>
    <font>
      <name val="Segoe UI"/>
      <b val="1"/>
      <color rgb="000F2537"/>
      <sz val="11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2537"/>
        <bgColor rgb="000F2537"/>
      </patternFill>
    </fill>
    <fill>
      <patternFill patternType="solid">
        <fgColor rgb="00EBF3FA"/>
        <bgColor rgb="00EBF3FA"/>
      </patternFill>
    </fill>
    <fill>
      <patternFill patternType="solid">
        <fgColor rgb="00FFF0F0"/>
        <bgColor rgb="00FFF0F0"/>
      </patternFill>
    </fill>
    <fill>
      <patternFill patternType="solid">
        <fgColor rgb="00F5F8FB"/>
        <bgColor rgb="00F5F8FB"/>
      </patternFill>
    </fill>
    <fill>
      <patternFill patternType="solid">
        <fgColor rgb="00FFFFFF"/>
        <bgColor rgb="00FFFFFF"/>
      </patternFill>
    </fill>
    <fill>
      <patternFill patternType="solid">
        <fgColor rgb="002C5E8A"/>
        <bgColor rgb="002C5E8A"/>
      </patternFill>
    </fill>
    <fill>
      <patternFill patternType="solid">
        <fgColor rgb="00E7ECF2"/>
        <bgColor rgb="00E7ECF2"/>
      </patternFill>
    </fill>
  </fills>
  <borders count="4">
    <border>
      <left/>
      <right/>
      <top/>
      <bottom/>
      <diagonal/>
    </border>
    <border>
      <left style="thin">
        <color rgb="00D3D8DE"/>
      </left>
      <right style="thin">
        <color rgb="00D3D8DE"/>
      </right>
      <top style="thin">
        <color rgb="00D3D8DE"/>
      </top>
      <bottom style="thin">
        <color rgb="00D3D8DE"/>
      </bottom>
    </border>
    <border>
      <left style="thin">
        <color rgb="00D3D8DE"/>
      </left>
      <right style="thin">
        <color rgb="00D3D8DE"/>
      </right>
      <top style="medium">
        <color rgb="002C5E8A"/>
      </top>
      <bottom style="thin">
        <color rgb="00D3D8DE"/>
      </bottom>
    </border>
    <border>
      <left style="thin">
        <color rgb="00D3D8DE"/>
      </left>
      <right style="thin">
        <color rgb="00D3D8DE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2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0" borderId="0" pivotButton="0" quotePrefix="0" xfId="0"/>
    <xf numFmtId="0" fontId="1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9" borderId="3" pivotButton="0" quotePrefix="0" xfId="0"/>
    <xf numFmtId="0" fontId="3" fillId="9" borderId="3" applyAlignment="1" pivotButton="0" quotePrefix="0" xfId="0">
      <alignment horizontal="center" vertical="center"/>
    </xf>
    <xf numFmtId="166" fontId="3" fillId="9" borderId="3" applyAlignment="1" pivotButton="0" quotePrefix="0" xfId="0">
      <alignment horizontal="right" vertical="center"/>
    </xf>
    <xf numFmtId="165" fontId="3" fillId="9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Segoe UI"/>
        <b val="1"/>
        <color rgb="00276A3C"/>
        <sz val="10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7F7F7F"/>
        <sz val="10"/>
      </font>
      <fill>
        <patternFill patternType="solid">
          <fgColor rgb="00F2F2F2"/>
          <bgColor rgb="00F2F2F2"/>
        </patternFill>
      </fill>
    </dxf>
    <dxf>
      <font>
        <name val="Segoe UI"/>
        <b val="1"/>
        <color rgb="00B3261E"/>
        <sz val="10"/>
      </font>
      <fill>
        <patternFill patternType="solid">
          <fgColor rgb="00FCE8E6"/>
          <bgColor rgb="00FCE8E6"/>
        </patternFill>
      </fill>
      <border>
        <left style="thin">
          <color rgb="00F5A39E"/>
        </left>
        <right style="thin">
          <color rgb="00F5A39E"/>
        </right>
        <top style="thin">
          <color rgb="00F5A39E"/>
        </top>
        <bottom style="thin">
          <color rgb="00F5A39E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Distribution by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'Dashboard'!$B$15:$B$22</f>
            </numRef>
          </cat>
          <val>
            <numRef>
              <f>'Dashboard'!$C$15:$C$22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Pipeline Value by Stage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'Dashboard'!$B$15:$B$22</f>
            </numRef>
          </cat>
          <val>
            <numRef>
              <f>'Dashboard'!$D$15:$D$22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Pipeline 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Pipeline Value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eadTrackerTable" displayName="LeadTrackerTable" ref="A1:K21" headerRowCount="1">
  <autoFilter ref="A1:K21"/>
  <tableColumns count="11">
    <tableColumn id="1" name="Lead ID"/>
    <tableColumn id="2" name="Customer Name"/>
    <tableColumn id="3" name="Company Name"/>
    <tableColumn id="4" name="Contact Number"/>
    <tableColumn id="5" name="Lead Source"/>
    <tableColumn id="6" name="Interested Service"/>
    <tableColumn id="7" name="Estimated Budget (₹)"/>
    <tableColumn id="8" name="Lead Status"/>
    <tableColumn id="9" name="Last Contact Date"/>
    <tableColumn id="10" name="Next Follow-up Date"/>
    <tableColumn id="11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22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22" customWidth="1" min="13" max="13"/>
    <col width="3" customWidth="1" min="14" max="14"/>
  </cols>
  <sheetData>
    <row r="2" ht="36" customHeight="1">
      <c r="B2" s="1" t="inlineStr">
        <is>
          <t>PROSPECTIVE CUSTOMER &amp; SALES LEAD TRACKING SYSTEM</t>
        </is>
      </c>
    </row>
    <row r="3" ht="20" customHeight="1">
      <c r="B3" s="2" t="inlineStr">
        <is>
          <t>BDR Sales Operations &amp; Executive Pipeline Intelligence | Portfolio Project for AuthBridge Research Services</t>
        </is>
      </c>
    </row>
    <row r="5" ht="18" customHeight="1">
      <c r="B5" s="3" t="inlineStr">
        <is>
          <t>TOTAL LEADS</t>
        </is>
      </c>
      <c r="C5" s="4" t="n"/>
      <c r="D5" s="3" t="inlineStr">
        <is>
          <t>TOTAL POTENTIAL PIPELINE VALUE</t>
        </is>
      </c>
      <c r="E5" s="4" t="n"/>
      <c r="F5" s="4" t="n"/>
      <c r="G5" s="3" t="inlineStr">
        <is>
          <t>CONVERTED REVENUE</t>
        </is>
      </c>
      <c r="H5" s="4" t="n"/>
      <c r="I5" s="3" t="inlineStr">
        <is>
          <t>CONVERSION RATE</t>
        </is>
      </c>
      <c r="J5" s="4" t="n"/>
      <c r="K5" s="5" t="inlineStr">
        <is>
          <t>OVERDUE FOLLOW-UPS</t>
        </is>
      </c>
      <c r="L5" s="4" t="n"/>
      <c r="M5" s="4" t="n"/>
    </row>
    <row r="6" ht="28" customHeight="1">
      <c r="B6" s="6">
        <f>COUNTA('Lead Tracker'!A2:A21)</f>
        <v/>
      </c>
      <c r="C6" s="7" t="n"/>
      <c r="D6" s="8">
        <f>SUMIF('Lead Tracker'!H2:H21, "&lt;&gt;Lost", 'Lead Tracker'!G2:G21)</f>
        <v/>
      </c>
      <c r="E6" s="7" t="n"/>
      <c r="F6" s="7" t="n"/>
      <c r="G6" s="8">
        <f>SUMIF('Lead Tracker'!H2:H21, "Converted", 'Lead Tracker'!G2:G21)</f>
        <v/>
      </c>
      <c r="H6" s="7" t="n"/>
      <c r="I6" s="9">
        <f>COUNTIF('Lead Tracker'!H2:H21, "Converted")/COUNTA('Lead Tracker'!A2:A21)</f>
        <v/>
      </c>
      <c r="J6" s="7" t="n"/>
      <c r="K6" s="10">
        <f>COUNTIFS('Lead Tracker'!J2:J21, "&lt;"&amp;TODAY(), 'Lead Tracker'!J2:J21, "&gt;0", 'Lead Tracker'!H2:H21, "&lt;&gt;Converted", 'Lead Tracker'!H2:H21, "&lt;&gt;Lost")</f>
        <v/>
      </c>
      <c r="L6" s="7" t="n"/>
      <c r="M6" s="7" t="n"/>
    </row>
    <row r="7" ht="16" customHeight="1">
      <c r="B7" s="11" t="inlineStr">
        <is>
          <t>Total Tracked Prospects</t>
        </is>
      </c>
      <c r="C7" s="7" t="n"/>
      <c r="D7" s="11" t="inlineStr">
        <is>
          <t>Active Pipeline (Excl. Lost)</t>
        </is>
      </c>
      <c r="E7" s="7" t="n"/>
      <c r="F7" s="7" t="n"/>
      <c r="G7" s="11" t="inlineStr">
        <is>
          <t>Won Deals Closed Value</t>
        </is>
      </c>
      <c r="H7" s="7" t="n"/>
      <c r="I7" s="11" t="inlineStr">
        <is>
          <t>Converted / Total Leads</t>
        </is>
      </c>
      <c r="J7" s="7" t="n"/>
      <c r="K7" s="12" t="inlineStr">
        <is>
          <t>Requires Immediate Outreach</t>
        </is>
      </c>
      <c r="L7" s="7" t="n"/>
      <c r="M7" s="7" t="n"/>
    </row>
    <row r="9" ht="20" customHeight="1">
      <c r="B9" s="13" t="inlineStr">
        <is>
          <t>SALES PIPELINE FUNNEL &amp; STAGE VOLUME BREAKDOWN</t>
        </is>
      </c>
    </row>
    <row r="10" ht="16" customHeight="1">
      <c r="B10" s="14" t="inlineStr">
        <is>
          <t>NEW LEADS</t>
        </is>
      </c>
      <c r="C10" s="14" t="inlineStr">
        <is>
          <t>CONTACTED</t>
        </is>
      </c>
      <c r="D10" s="14" t="inlineStr">
        <is>
          <t>INTERESTED LEADS</t>
        </is>
      </c>
      <c r="E10" s="7" t="n"/>
      <c r="F10" s="14" t="inlineStr">
        <is>
          <t>QUALIFIED LEADS</t>
        </is>
      </c>
      <c r="G10" s="7" t="n"/>
      <c r="H10" s="14" t="inlineStr">
        <is>
          <t>MEETINGS SCHEDULED</t>
        </is>
      </c>
      <c r="I10" s="7" t="n"/>
      <c r="J10" s="14" t="inlineStr">
        <is>
          <t>PROPOSALS SENT</t>
        </is>
      </c>
      <c r="K10" s="7" t="n"/>
      <c r="L10" s="14" t="inlineStr">
        <is>
          <t>CONVERTED</t>
        </is>
      </c>
      <c r="M10" s="14" t="inlineStr">
        <is>
          <t>LOST LEADS</t>
        </is>
      </c>
    </row>
    <row r="11" ht="22" customHeight="1">
      <c r="B11" s="15">
        <f>COUNTIF('Lead Tracker'!H2:H21, "New Lead")</f>
        <v/>
      </c>
      <c r="C11" s="15">
        <f>COUNTIF('Lead Tracker'!H2:H21, "Contacted")</f>
        <v/>
      </c>
      <c r="D11" s="15">
        <f>COUNTIF('Lead Tracker'!H2:H21, "Interested")</f>
        <v/>
      </c>
      <c r="E11" s="7" t="n"/>
      <c r="F11" s="15">
        <f>COUNTIF('Lead Tracker'!H2:H21, "Qualified")</f>
        <v/>
      </c>
      <c r="G11" s="7" t="n"/>
      <c r="H11" s="15">
        <f>COUNTIF('Lead Tracker'!H2:H21, "Meeting Scheduled")</f>
        <v/>
      </c>
      <c r="I11" s="7" t="n"/>
      <c r="J11" s="15">
        <f>COUNTIF('Lead Tracker'!H2:H21, "Proposal Sent")</f>
        <v/>
      </c>
      <c r="K11" s="7" t="n"/>
      <c r="L11" s="15">
        <f>COUNTIF('Lead Tracker'!H2:H21, "Converted")</f>
        <v/>
      </c>
      <c r="M11" s="15">
        <f>COUNTIF('Lead Tracker'!H2:H21, "Lost")</f>
        <v/>
      </c>
    </row>
    <row r="13">
      <c r="B13" s="16" t="inlineStr">
        <is>
          <t>SALES PIPELINE STAGE BREAKDOWN</t>
        </is>
      </c>
      <c r="I13" s="16" t="inlineStr">
        <is>
          <t>LEAD SOURCE PERFORMANCE &amp; CHANNELS</t>
        </is>
      </c>
    </row>
    <row r="14" ht="22" customHeight="1">
      <c r="B14" s="17" t="inlineStr">
        <is>
          <t>Lead Status / Stage</t>
        </is>
      </c>
      <c r="C14" s="18" t="inlineStr">
        <is>
          <t>Leads</t>
        </is>
      </c>
      <c r="D14" s="18" t="inlineStr">
        <is>
          <t>Pipeline Value (₹)</t>
        </is>
      </c>
      <c r="E14" s="18" t="inlineStr">
        <is>
          <t>Avg Deal Size (₹)</t>
        </is>
      </c>
      <c r="F14" s="18" t="inlineStr">
        <is>
          <t>Stage Share %</t>
        </is>
      </c>
      <c r="I14" s="17" t="inlineStr">
        <is>
          <t>Lead Source</t>
        </is>
      </c>
      <c r="J14" s="18" t="inlineStr">
        <is>
          <t>Total Leads</t>
        </is>
      </c>
      <c r="K14" s="18" t="inlineStr">
        <is>
          <t>Won Leads</t>
        </is>
      </c>
      <c r="L14" s="18" t="inlineStr">
        <is>
          <t>Win Rate %</t>
        </is>
      </c>
      <c r="M14" s="18" t="inlineStr">
        <is>
          <t>Total Budget (₹)</t>
        </is>
      </c>
    </row>
    <row r="15" ht="19" customHeight="1">
      <c r="B15" s="19" t="inlineStr">
        <is>
          <t>New Lead</t>
        </is>
      </c>
      <c r="C15" s="20">
        <f>COUNTIF('Lead Tracker'!$H$2:$H$21, "New Lead")</f>
        <v/>
      </c>
      <c r="D15" s="21">
        <f>SUMIF('Lead Tracker'!$H$2:$H$21, "New Lead", 'Lead Tracker'!$G$2:$G$21)</f>
        <v/>
      </c>
      <c r="E15" s="21">
        <f>IFERROR(D15/C15, 0)</f>
        <v/>
      </c>
      <c r="F15" s="22">
        <f>IFERROR(C15/$C$23, 0)</f>
        <v/>
      </c>
      <c r="I15" s="19" t="inlineStr">
        <is>
          <t>LinkedIn</t>
        </is>
      </c>
      <c r="J15" s="20">
        <f>COUNTIF('Lead Tracker'!$E$2:$E$21, "LinkedIn")</f>
        <v/>
      </c>
      <c r="K15" s="20">
        <f>COUNTIFS('Lead Tracker'!$E$2:$E$21, "LinkedIn", 'Lead Tracker'!$H$2:$H$21, "Converted")</f>
        <v/>
      </c>
      <c r="L15" s="22">
        <f>IFERROR(K15/J15, 0)</f>
        <v/>
      </c>
      <c r="M15" s="21">
        <f>SUMIF('Lead Tracker'!$E$2:$E$21, "LinkedIn", 'Lead Tracker'!$G$2:$G$21)</f>
        <v/>
      </c>
    </row>
    <row r="16" ht="19" customHeight="1">
      <c r="B16" s="19" t="inlineStr">
        <is>
          <t>Contacted</t>
        </is>
      </c>
      <c r="C16" s="20">
        <f>COUNTIF('Lead Tracker'!$H$2:$H$21, "Contacted")</f>
        <v/>
      </c>
      <c r="D16" s="21">
        <f>SUMIF('Lead Tracker'!$H$2:$H$21, "Contacted", 'Lead Tracker'!$G$2:$G$21)</f>
        <v/>
      </c>
      <c r="E16" s="21">
        <f>IFERROR(D16/C16, 0)</f>
        <v/>
      </c>
      <c r="F16" s="22">
        <f>IFERROR(C16/$C$23, 0)</f>
        <v/>
      </c>
      <c r="I16" s="19" t="inlineStr">
        <is>
          <t>Email</t>
        </is>
      </c>
      <c r="J16" s="20">
        <f>COUNTIF('Lead Tracker'!$E$2:$E$21, "Email")</f>
        <v/>
      </c>
      <c r="K16" s="20">
        <f>COUNTIFS('Lead Tracker'!$E$2:$E$21, "Email", 'Lead Tracker'!$H$2:$H$21, "Converted")</f>
        <v/>
      </c>
      <c r="L16" s="22">
        <f>IFERROR(K16/J16, 0)</f>
        <v/>
      </c>
      <c r="M16" s="21">
        <f>SUMIF('Lead Tracker'!$E$2:$E$21, "Email", 'Lead Tracker'!$G$2:$G$21)</f>
        <v/>
      </c>
    </row>
    <row r="17" ht="19" customHeight="1">
      <c r="B17" s="19" t="inlineStr">
        <is>
          <t>Interested</t>
        </is>
      </c>
      <c r="C17" s="20">
        <f>COUNTIF('Lead Tracker'!$H$2:$H$21, "Interested")</f>
        <v/>
      </c>
      <c r="D17" s="21">
        <f>SUMIF('Lead Tracker'!$H$2:$H$21, "Interested", 'Lead Tracker'!$G$2:$G$21)</f>
        <v/>
      </c>
      <c r="E17" s="21">
        <f>IFERROR(D17/C17, 0)</f>
        <v/>
      </c>
      <c r="F17" s="22">
        <f>IFERROR(C17/$C$23, 0)</f>
        <v/>
      </c>
      <c r="I17" s="19" t="inlineStr">
        <is>
          <t>Cold Call</t>
        </is>
      </c>
      <c r="J17" s="20">
        <f>COUNTIF('Lead Tracker'!$E$2:$E$21, "Cold Call")</f>
        <v/>
      </c>
      <c r="K17" s="20">
        <f>COUNTIFS('Lead Tracker'!$E$2:$E$21, "Cold Call", 'Lead Tracker'!$H$2:$H$21, "Converted")</f>
        <v/>
      </c>
      <c r="L17" s="22">
        <f>IFERROR(K17/J17, 0)</f>
        <v/>
      </c>
      <c r="M17" s="21">
        <f>SUMIF('Lead Tracker'!$E$2:$E$21, "Cold Call", 'Lead Tracker'!$G$2:$G$21)</f>
        <v/>
      </c>
    </row>
    <row r="18" ht="19" customHeight="1">
      <c r="B18" s="19" t="inlineStr">
        <is>
          <t>Qualified</t>
        </is>
      </c>
      <c r="C18" s="20">
        <f>COUNTIF('Lead Tracker'!$H$2:$H$21, "Qualified")</f>
        <v/>
      </c>
      <c r="D18" s="21">
        <f>SUMIF('Lead Tracker'!$H$2:$H$21, "Qualified", 'Lead Tracker'!$G$2:$G$21)</f>
        <v/>
      </c>
      <c r="E18" s="21">
        <f>IFERROR(D18/C18, 0)</f>
        <v/>
      </c>
      <c r="F18" s="22">
        <f>IFERROR(C18/$C$23, 0)</f>
        <v/>
      </c>
      <c r="I18" s="19" t="inlineStr">
        <is>
          <t>Referral</t>
        </is>
      </c>
      <c r="J18" s="20">
        <f>COUNTIF('Lead Tracker'!$E$2:$E$21, "Referral")</f>
        <v/>
      </c>
      <c r="K18" s="20">
        <f>COUNTIFS('Lead Tracker'!$E$2:$E$21, "Referral", 'Lead Tracker'!$H$2:$H$21, "Converted")</f>
        <v/>
      </c>
      <c r="L18" s="22">
        <f>IFERROR(K18/J18, 0)</f>
        <v/>
      </c>
      <c r="M18" s="21">
        <f>SUMIF('Lead Tracker'!$E$2:$E$21, "Referral", 'Lead Tracker'!$G$2:$G$21)</f>
        <v/>
      </c>
    </row>
    <row r="19" ht="19" customHeight="1">
      <c r="B19" s="19" t="inlineStr">
        <is>
          <t>Meeting Scheduled</t>
        </is>
      </c>
      <c r="C19" s="20">
        <f>COUNTIF('Lead Tracker'!$H$2:$H$21, "Meeting Scheduled")</f>
        <v/>
      </c>
      <c r="D19" s="21">
        <f>SUMIF('Lead Tracker'!$H$2:$H$21, "Meeting Scheduled", 'Lead Tracker'!$G$2:$G$21)</f>
        <v/>
      </c>
      <c r="E19" s="21">
        <f>IFERROR(D19/C19, 0)</f>
        <v/>
      </c>
      <c r="F19" s="22">
        <f>IFERROR(C19/$C$23, 0)</f>
        <v/>
      </c>
      <c r="I19" s="19" t="inlineStr">
        <is>
          <t>Website</t>
        </is>
      </c>
      <c r="J19" s="20">
        <f>COUNTIF('Lead Tracker'!$E$2:$E$21, "Website")</f>
        <v/>
      </c>
      <c r="K19" s="20">
        <f>COUNTIFS('Lead Tracker'!$E$2:$E$21, "Website", 'Lead Tracker'!$H$2:$H$21, "Converted")</f>
        <v/>
      </c>
      <c r="L19" s="22">
        <f>IFERROR(K19/J19, 0)</f>
        <v/>
      </c>
      <c r="M19" s="21">
        <f>SUMIF('Lead Tracker'!$E$2:$E$21, "Website", 'Lead Tracker'!$G$2:$G$21)</f>
        <v/>
      </c>
    </row>
    <row r="20" ht="22" customHeight="1">
      <c r="B20" s="19" t="inlineStr">
        <is>
          <t>Proposal Sent</t>
        </is>
      </c>
      <c r="C20" s="20">
        <f>COUNTIF('Lead Tracker'!$H$2:$H$21, "Proposal Sent")</f>
        <v/>
      </c>
      <c r="D20" s="21">
        <f>SUMIF('Lead Tracker'!$H$2:$H$21, "Proposal Sent", 'Lead Tracker'!$G$2:$G$21)</f>
        <v/>
      </c>
      <c r="E20" s="21">
        <f>IFERROR(D20/C20, 0)</f>
        <v/>
      </c>
      <c r="F20" s="22">
        <f>IFERROR(C20/$C$23, 0)</f>
        <v/>
      </c>
      <c r="I20" s="23" t="inlineStr">
        <is>
          <t>Total Channels</t>
        </is>
      </c>
      <c r="J20" s="24">
        <f>SUM(J15:J19)</f>
        <v/>
      </c>
      <c r="K20" s="24">
        <f>SUM(K15:K19)</f>
        <v/>
      </c>
      <c r="L20" s="25">
        <f>IFERROR(K20/J20, 0)</f>
        <v/>
      </c>
      <c r="M20" s="26">
        <f>SUM(M15:M19)</f>
        <v/>
      </c>
    </row>
    <row r="21" ht="19" customHeight="1">
      <c r="B21" s="19" t="inlineStr">
        <is>
          <t>Converted</t>
        </is>
      </c>
      <c r="C21" s="20">
        <f>COUNTIF('Lead Tracker'!$H$2:$H$21, "Converted")</f>
        <v/>
      </c>
      <c r="D21" s="21">
        <f>SUMIF('Lead Tracker'!$H$2:$H$21, "Converted", 'Lead Tracker'!$G$2:$G$21)</f>
        <v/>
      </c>
      <c r="E21" s="21">
        <f>IFERROR(D21/C21, 0)</f>
        <v/>
      </c>
      <c r="F21" s="22">
        <f>IFERROR(C21/$C$23, 0)</f>
        <v/>
      </c>
    </row>
    <row r="22" ht="19" customHeight="1">
      <c r="B22" s="19" t="inlineStr">
        <is>
          <t>Lost</t>
        </is>
      </c>
      <c r="C22" s="20">
        <f>COUNTIF('Lead Tracker'!$H$2:$H$21, "Lost")</f>
        <v/>
      </c>
      <c r="D22" s="21">
        <f>SUMIF('Lead Tracker'!$H$2:$H$21, "Lost", 'Lead Tracker'!$G$2:$G$21)</f>
        <v/>
      </c>
      <c r="E22" s="21">
        <f>IFERROR(D22/C22, 0)</f>
        <v/>
      </c>
      <c r="F22" s="22">
        <f>IFERROR(C22/$C$23, 0)</f>
        <v/>
      </c>
    </row>
    <row r="23" ht="22" customHeight="1">
      <c r="B23" s="23" t="inlineStr">
        <is>
          <t>Total / Portfolio Summary</t>
        </is>
      </c>
      <c r="C23" s="24">
        <f>SUM(C15:C22)</f>
        <v/>
      </c>
      <c r="D23" s="26">
        <f>SUM(D15:D22)</f>
        <v/>
      </c>
      <c r="E23" s="26">
        <f>IFERROR(D23/C23, 0)</f>
        <v/>
      </c>
      <c r="F23" s="25">
        <f>SUM(F15:F22)</f>
        <v/>
      </c>
    </row>
  </sheetData>
  <mergeCells count="34">
    <mergeCell ref="B2:M2"/>
    <mergeCell ref="F11:G11"/>
    <mergeCell ref="I6:J6"/>
    <mergeCell ref="B7:C7"/>
    <mergeCell ref="D10:E10"/>
    <mergeCell ref="F10:G10"/>
    <mergeCell ref="H10:I10"/>
    <mergeCell ref="J10:K10"/>
    <mergeCell ref="D7:F7"/>
    <mergeCell ref="L11"/>
    <mergeCell ref="G7:H7"/>
    <mergeCell ref="I7:J7"/>
    <mergeCell ref="D11:E11"/>
    <mergeCell ref="G6:H6"/>
    <mergeCell ref="B9:M9"/>
    <mergeCell ref="K7:M7"/>
    <mergeCell ref="H11:I11"/>
    <mergeCell ref="J11:K11"/>
    <mergeCell ref="D5:F5"/>
    <mergeCell ref="K6:M6"/>
    <mergeCell ref="M11"/>
    <mergeCell ref="B11"/>
    <mergeCell ref="G5:H5"/>
    <mergeCell ref="I5:J5"/>
    <mergeCell ref="C10"/>
    <mergeCell ref="M10"/>
    <mergeCell ref="B6:C6"/>
    <mergeCell ref="B3:M3"/>
    <mergeCell ref="B5:C5"/>
    <mergeCell ref="K5:M5"/>
    <mergeCell ref="C11"/>
    <mergeCell ref="B10"/>
    <mergeCell ref="D6:F6"/>
    <mergeCell ref="L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18" customWidth="1" min="4" max="4"/>
    <col width="14" customWidth="1" min="5" max="5"/>
    <col width="35" customWidth="1" min="6" max="6"/>
    <col width="22" customWidth="1" min="7" max="7"/>
    <col width="20" customWidth="1" min="8" max="8"/>
    <col width="18" customWidth="1" min="9" max="9"/>
    <col width="20" customWidth="1" min="10" max="10"/>
    <col width="55" customWidth="1" min="11" max="11"/>
  </cols>
  <sheetData>
    <row r="1" ht="26" customHeight="1">
      <c r="A1" s="27" t="inlineStr">
        <is>
          <t>Lead ID</t>
        </is>
      </c>
      <c r="B1" s="27" t="inlineStr">
        <is>
          <t>Customer Name</t>
        </is>
      </c>
      <c r="C1" s="27" t="inlineStr">
        <is>
          <t>Company Name</t>
        </is>
      </c>
      <c r="D1" s="27" t="inlineStr">
        <is>
          <t>Contact Number</t>
        </is>
      </c>
      <c r="E1" s="27" t="inlineStr">
        <is>
          <t>Lead Source</t>
        </is>
      </c>
      <c r="F1" s="27" t="inlineStr">
        <is>
          <t>Interested Service</t>
        </is>
      </c>
      <c r="G1" s="27" t="inlineStr">
        <is>
          <t>Estimated Budget (₹)</t>
        </is>
      </c>
      <c r="H1" s="27" t="inlineStr">
        <is>
          <t>Lead Status</t>
        </is>
      </c>
      <c r="I1" s="27" t="inlineStr">
        <is>
          <t>Last Contact Date</t>
        </is>
      </c>
      <c r="J1" s="27" t="inlineStr">
        <is>
          <t>Next Follow-up Date</t>
        </is>
      </c>
      <c r="K1" s="27" t="inlineStr">
        <is>
          <t>Remarks</t>
        </is>
      </c>
    </row>
    <row r="2" ht="20" customHeight="1">
      <c r="A2" s="28" t="inlineStr">
        <is>
          <t>L-1001</t>
        </is>
      </c>
      <c r="B2" s="29" t="inlineStr">
        <is>
          <t>Rajesh Sharma</t>
        </is>
      </c>
      <c r="C2" s="29" t="inlineStr">
        <is>
          <t>Flipkart Internet Pvt Ltd</t>
        </is>
      </c>
      <c r="D2" s="20" t="inlineStr">
        <is>
          <t>+91 98201 45678</t>
        </is>
      </c>
      <c r="E2" s="20" t="inlineStr">
        <is>
          <t>LinkedIn</t>
        </is>
      </c>
      <c r="F2" s="29" t="inlineStr">
        <is>
          <t>Employee Background Verification</t>
        </is>
      </c>
      <c r="G2" s="21" t="n">
        <v>1450000</v>
      </c>
      <c r="H2" s="20" t="inlineStr">
        <is>
          <t>Proposal Sent</t>
        </is>
      </c>
      <c r="I2" s="30" t="n">
        <v>46307</v>
      </c>
      <c r="J2" s="30" t="n">
        <v>46310</v>
      </c>
      <c r="K2" s="29" t="inlineStr">
        <is>
          <t>Sent commercial proposal for 4,500 annual white-collar candidate checks; awaiting CFO sign-off.</t>
        </is>
      </c>
    </row>
    <row r="3" ht="20" customHeight="1">
      <c r="A3" s="28" t="inlineStr">
        <is>
          <t>L-1002</t>
        </is>
      </c>
      <c r="B3" s="29" t="inlineStr">
        <is>
          <t>Priya Nair</t>
        </is>
      </c>
      <c r="C3" s="29" t="inlineStr">
        <is>
          <t>Swiggy (Bundl Technologies)</t>
        </is>
      </c>
      <c r="D3" s="20" t="inlineStr">
        <is>
          <t>+91 98112 34567</t>
        </is>
      </c>
      <c r="E3" s="20" t="inlineStr">
        <is>
          <t>Website</t>
        </is>
      </c>
      <c r="F3" s="29" t="inlineStr">
        <is>
          <t>Digital Address Verification</t>
        </is>
      </c>
      <c r="G3" s="21" t="n">
        <v>2200000</v>
      </c>
      <c r="H3" s="20" t="inlineStr">
        <is>
          <t>Qualified</t>
        </is>
      </c>
      <c r="I3" s="30" t="n">
        <v>46309</v>
      </c>
      <c r="J3" s="30" t="n">
        <v>46316</v>
      </c>
      <c r="K3" s="29" t="inlineStr">
        <is>
          <t>High interest in contactless GPS-geotagged address verification for 15,000 pan-India fleet partners.</t>
        </is>
      </c>
    </row>
    <row r="4" ht="20" customHeight="1">
      <c r="A4" s="28" t="inlineStr">
        <is>
          <t>L-1003</t>
        </is>
      </c>
      <c r="B4" s="29" t="inlineStr">
        <is>
          <t>Amit Verma</t>
        </is>
      </c>
      <c r="C4" s="29" t="inlineStr">
        <is>
          <t>Razorpay Payments Ltd</t>
        </is>
      </c>
      <c r="D4" s="20" t="inlineStr">
        <is>
          <t>+91 98334 11223</t>
        </is>
      </c>
      <c r="E4" s="20" t="inlineStr">
        <is>
          <t>Referral</t>
        </is>
      </c>
      <c r="F4" s="29" t="inlineStr">
        <is>
          <t>Instant KYC &amp; Digital ID Suite</t>
        </is>
      </c>
      <c r="G4" s="21" t="n">
        <v>1850000</v>
      </c>
      <c r="H4" s="20" t="inlineStr">
        <is>
          <t>Converted</t>
        </is>
      </c>
      <c r="I4" s="30" t="n">
        <v>46300</v>
      </c>
      <c r="J4" s="30" t="n"/>
      <c r="K4" s="29" t="inlineStr">
        <is>
          <t>Contract executed for automated merchant onboarding API, Aadhaar OCR, and bank account validation.</t>
        </is>
      </c>
    </row>
    <row r="5" ht="20" customHeight="1">
      <c r="A5" s="28" t="inlineStr">
        <is>
          <t>L-1004</t>
        </is>
      </c>
      <c r="B5" s="29" t="inlineStr">
        <is>
          <t>Sneha Patel</t>
        </is>
      </c>
      <c r="C5" s="29" t="inlineStr">
        <is>
          <t>Infosys Technologies Ltd</t>
        </is>
      </c>
      <c r="D5" s="20" t="inlineStr">
        <is>
          <t>+91 98450 99887</t>
        </is>
      </c>
      <c r="E5" s="20" t="inlineStr">
        <is>
          <t>Email</t>
        </is>
      </c>
      <c r="F5" s="29" t="inlineStr">
        <is>
          <t>Employee Background Verification</t>
        </is>
      </c>
      <c r="G5" s="21" t="n">
        <v>3500000</v>
      </c>
      <c r="H5" s="20" t="inlineStr">
        <is>
          <t>Meeting Scheduled</t>
        </is>
      </c>
      <c r="I5" s="30" t="n">
        <v>46311</v>
      </c>
      <c r="J5" s="30" t="n">
        <v>46317</v>
      </c>
      <c r="K5" s="29" t="inlineStr">
        <is>
          <t>Product demo booked with Talent Acquisition VP and Compliance Director regarding fast-track BGV API.</t>
        </is>
      </c>
    </row>
    <row r="6" ht="20" customHeight="1">
      <c r="A6" s="28" t="inlineStr">
        <is>
          <t>L-1005</t>
        </is>
      </c>
      <c r="B6" s="29" t="inlineStr">
        <is>
          <t>Vikram Singhania</t>
        </is>
      </c>
      <c r="C6" s="29" t="inlineStr">
        <is>
          <t>Tata 1mg Healthcare</t>
        </is>
      </c>
      <c r="D6" s="20" t="inlineStr">
        <is>
          <t>+91 98101 66554</t>
        </is>
      </c>
      <c r="E6" s="20" t="inlineStr">
        <is>
          <t>Cold Call</t>
        </is>
      </c>
      <c r="F6" s="29" t="inlineStr">
        <is>
          <t>Vendor Due Diligence</t>
        </is>
      </c>
      <c r="G6" s="21" t="n">
        <v>650000</v>
      </c>
      <c r="H6" s="20" t="inlineStr">
        <is>
          <t>Contacted</t>
        </is>
      </c>
      <c r="I6" s="30" t="n">
        <v>46308</v>
      </c>
      <c r="J6" s="30" t="n">
        <v>46315</v>
      </c>
      <c r="K6" s="29" t="inlineStr">
        <is>
          <t>Spoke with Head of Procurement; shared technical brochure on supply chain and pharmacy vendor risk screening.</t>
        </is>
      </c>
    </row>
    <row r="7" ht="20" customHeight="1">
      <c r="A7" s="28" t="inlineStr">
        <is>
          <t>L-1006</t>
        </is>
      </c>
      <c r="B7" s="29" t="inlineStr">
        <is>
          <t>Ananya Iyer</t>
        </is>
      </c>
      <c r="C7" s="29" t="inlineStr">
        <is>
          <t>Zomato Media Pvt Ltd</t>
        </is>
      </c>
      <c r="D7" s="20" t="inlineStr">
        <is>
          <t>+91 98710 44332</t>
        </is>
      </c>
      <c r="E7" s="20" t="inlineStr">
        <is>
          <t>LinkedIn</t>
        </is>
      </c>
      <c r="F7" s="29" t="inlineStr">
        <is>
          <t>Workforce &amp; Blue-Collar Verification</t>
        </is>
      </c>
      <c r="G7" s="21" t="n">
        <v>1950000</v>
      </c>
      <c r="H7" s="20" t="inlineStr">
        <is>
          <t>Proposal Sent</t>
        </is>
      </c>
      <c r="I7" s="30" t="n">
        <v>46305</v>
      </c>
      <c r="J7" s="30" t="n">
        <v>46309</v>
      </c>
      <c r="K7" s="29" t="inlineStr">
        <is>
          <t>Follow-up required on RFP submission for criminal and identity checks across delivery personnel.</t>
        </is>
      </c>
    </row>
    <row r="8" ht="20" customHeight="1">
      <c r="A8" s="28" t="inlineStr">
        <is>
          <t>L-1007</t>
        </is>
      </c>
      <c r="B8" s="29" t="inlineStr">
        <is>
          <t>Rohan Kapoor</t>
        </is>
      </c>
      <c r="C8" s="29" t="inlineStr">
        <is>
          <t>Delhivery Logistics</t>
        </is>
      </c>
      <c r="D8" s="20" t="inlineStr">
        <is>
          <t>+91 99100 88776</t>
        </is>
      </c>
      <c r="E8" s="20" t="inlineStr">
        <is>
          <t>Website</t>
        </is>
      </c>
      <c r="F8" s="29" t="inlineStr">
        <is>
          <t>Criminal &amp; Court Records Search</t>
        </is>
      </c>
      <c r="G8" s="21" t="n">
        <v>1200000</v>
      </c>
      <c r="H8" s="20" t="inlineStr">
        <is>
          <t>Interested</t>
        </is>
      </c>
      <c r="I8" s="30" t="n">
        <v>46310</v>
      </c>
      <c r="J8" s="30" t="n">
        <v>46318</v>
      </c>
      <c r="K8" s="29" t="inlineStr">
        <is>
          <t>Requested technical architecture specs on automated e-Courts search and nationwide police record checks.</t>
        </is>
      </c>
    </row>
    <row r="9" ht="20" customHeight="1">
      <c r="A9" s="28" t="inlineStr">
        <is>
          <t>L-1008</t>
        </is>
      </c>
      <c r="B9" s="29" t="inlineStr">
        <is>
          <t>Neha Gupta</t>
        </is>
      </c>
      <c r="C9" s="29" t="inlineStr">
        <is>
          <t>Urban Company</t>
        </is>
      </c>
      <c r="D9" s="20" t="inlineStr">
        <is>
          <t>+91 98220 33445</t>
        </is>
      </c>
      <c r="E9" s="20" t="inlineStr">
        <is>
          <t>Referral</t>
        </is>
      </c>
      <c r="F9" s="29" t="inlineStr">
        <is>
          <t>Instant KYC &amp; Digital ID Suite</t>
        </is>
      </c>
      <c r="G9" s="21" t="n">
        <v>850000</v>
      </c>
      <c r="H9" s="20" t="inlineStr">
        <is>
          <t>Converted</t>
        </is>
      </c>
      <c r="I9" s="30" t="n">
        <v>46293</v>
      </c>
      <c r="J9" s="30" t="n"/>
      <c r="K9" s="29" t="inlineStr">
        <is>
          <t>Closed annual agreement for service professional biometric KYC and document verification.</t>
        </is>
      </c>
    </row>
    <row r="10" ht="20" customHeight="1">
      <c r="A10" s="28" t="inlineStr">
        <is>
          <t>L-1009</t>
        </is>
      </c>
      <c r="B10" s="29" t="inlineStr">
        <is>
          <t>Siddharth Mehta</t>
        </is>
      </c>
      <c r="C10" s="29" t="inlineStr">
        <is>
          <t>One97 Communications (Paytm)</t>
        </is>
      </c>
      <c r="D10" s="20" t="inlineStr">
        <is>
          <t>+91 98188 77665</t>
        </is>
      </c>
      <c r="E10" s="20" t="inlineStr">
        <is>
          <t>Cold Call</t>
        </is>
      </c>
      <c r="F10" s="29" t="inlineStr">
        <is>
          <t>AML &amp; Financial Sanctions Screening</t>
        </is>
      </c>
      <c r="G10" s="21" t="n">
        <v>1600000</v>
      </c>
      <c r="H10" s="20" t="inlineStr">
        <is>
          <t>Qualified</t>
        </is>
      </c>
      <c r="I10" s="30" t="n">
        <v>46306</v>
      </c>
      <c r="J10" s="30" t="n">
        <v>46319</v>
      </c>
      <c r="K10" s="29" t="inlineStr">
        <is>
          <t>Passed BANT qualification; requirements mapped to AuthBridge PEP, Interpol, and global sanctions API.</t>
        </is>
      </c>
    </row>
    <row r="11" ht="20" customHeight="1">
      <c r="A11" s="28" t="inlineStr">
        <is>
          <t>L-1010</t>
        </is>
      </c>
      <c r="B11" s="29" t="inlineStr">
        <is>
          <t>Kavita Reddy</t>
        </is>
      </c>
      <c r="C11" s="29" t="inlineStr">
        <is>
          <t>Pine Labs Pvt Ltd</t>
        </is>
      </c>
      <c r="D11" s="20" t="inlineStr">
        <is>
          <t>+91 98480 22334</t>
        </is>
      </c>
      <c r="E11" s="20" t="inlineStr">
        <is>
          <t>LinkedIn</t>
        </is>
      </c>
      <c r="F11" s="29" t="inlineStr">
        <is>
          <t>API Onboarding &amp; OCR Suite</t>
        </is>
      </c>
      <c r="G11" s="21" t="n">
        <v>950000</v>
      </c>
      <c r="H11" s="20" t="inlineStr">
        <is>
          <t>Interested</t>
        </is>
      </c>
      <c r="I11" s="30" t="n">
        <v>46303</v>
      </c>
      <c r="J11" s="30" t="n">
        <v>46311</v>
      </c>
      <c r="K11" s="29" t="inlineStr">
        <is>
          <t>Evaluating optical character recognition (OCR) speed and accuracy benchmark against incumbent provider.</t>
        </is>
      </c>
    </row>
    <row r="12" ht="20" customHeight="1">
      <c r="A12" s="28" t="inlineStr">
        <is>
          <t>L-1011</t>
        </is>
      </c>
      <c r="B12" s="29" t="inlineStr">
        <is>
          <t>Arpit Bansal</t>
        </is>
      </c>
      <c r="C12" s="29" t="inlineStr">
        <is>
          <t>Unacademy EdTech</t>
        </is>
      </c>
      <c r="D12" s="20" t="inlineStr">
        <is>
          <t>+91 99300 55667</t>
        </is>
      </c>
      <c r="E12" s="20" t="inlineStr">
        <is>
          <t>Email</t>
        </is>
      </c>
      <c r="F12" s="29" t="inlineStr">
        <is>
          <t>Education &amp; Credential Check</t>
        </is>
      </c>
      <c r="G12" s="21" t="n">
        <v>450000</v>
      </c>
      <c r="H12" s="20" t="inlineStr">
        <is>
          <t>Lost</t>
        </is>
      </c>
      <c r="I12" s="30" t="n">
        <v>46297</v>
      </c>
      <c r="J12" s="30" t="n"/>
      <c r="K12" s="29" t="inlineStr">
        <is>
          <t>Paused all external hiring screening integrations due to internal organization budget freeze.</t>
        </is>
      </c>
    </row>
    <row r="13" ht="20" customHeight="1">
      <c r="A13" s="28" t="inlineStr">
        <is>
          <t>L-1012</t>
        </is>
      </c>
      <c r="B13" s="29" t="inlineStr">
        <is>
          <t>Pooja Joshi</t>
        </is>
      </c>
      <c r="C13" s="29" t="inlineStr">
        <is>
          <t>Groww (Nextbillion Tech)</t>
        </is>
      </c>
      <c r="D13" s="20" t="inlineStr">
        <is>
          <t>+91 98205 11998</t>
        </is>
      </c>
      <c r="E13" s="20" t="inlineStr">
        <is>
          <t>Website</t>
        </is>
      </c>
      <c r="F13" s="29" t="inlineStr">
        <is>
          <t>Instant KYC &amp; Digital ID Suite</t>
        </is>
      </c>
      <c r="G13" s="21" t="n">
        <v>2100000</v>
      </c>
      <c r="H13" s="20" t="inlineStr">
        <is>
          <t>Meeting Scheduled</t>
        </is>
      </c>
      <c r="I13" s="30" t="n">
        <v>46312</v>
      </c>
      <c r="J13" s="30" t="n">
        <v>46320</v>
      </c>
      <c r="K13" s="29" t="inlineStr">
        <is>
          <t>Demo scheduled with VP of Customer Onboarding for SEBI/KRA compliant digital verification suite.</t>
        </is>
      </c>
    </row>
    <row r="14" ht="20" customHeight="1">
      <c r="A14" s="28" t="inlineStr">
        <is>
          <t>L-1013</t>
        </is>
      </c>
      <c r="B14" s="29" t="inlineStr">
        <is>
          <t>Manish Agarwal</t>
        </is>
      </c>
      <c r="C14" s="29" t="inlineStr">
        <is>
          <t>Zepto (KiranaKart)</t>
        </is>
      </c>
      <c r="D14" s="20" t="inlineStr">
        <is>
          <t>+91 98115 66778</t>
        </is>
      </c>
      <c r="E14" s="20" t="inlineStr">
        <is>
          <t>Cold Call</t>
        </is>
      </c>
      <c r="F14" s="29" t="inlineStr">
        <is>
          <t>Workforce &amp; Blue-Collar Verification</t>
        </is>
      </c>
      <c r="G14" s="21" t="n">
        <v>1750000</v>
      </c>
      <c r="H14" s="20" t="inlineStr">
        <is>
          <t>New Lead</t>
        </is>
      </c>
      <c r="I14" s="30" t="n">
        <v>46311</v>
      </c>
      <c r="J14" s="30" t="n">
        <v>46314</v>
      </c>
      <c r="K14" s="29" t="inlineStr">
        <is>
          <t>Lead generated from dark-store network expansion news; introductory BDR outreach drafted.</t>
        </is>
      </c>
    </row>
    <row r="15" ht="20" customHeight="1">
      <c r="A15" s="28" t="inlineStr">
        <is>
          <t>L-1014</t>
        </is>
      </c>
      <c r="B15" s="29" t="inlineStr">
        <is>
          <t>Tarun Batra</t>
        </is>
      </c>
      <c r="C15" s="29" t="inlineStr">
        <is>
          <t>CRED (Dreamplug Tech)</t>
        </is>
      </c>
      <c r="D15" s="20" t="inlineStr">
        <is>
          <t>+91 98199 44556</t>
        </is>
      </c>
      <c r="E15" s="20" t="inlineStr">
        <is>
          <t>Referral</t>
        </is>
      </c>
      <c r="F15" s="29" t="inlineStr">
        <is>
          <t>Executive Due Diligence</t>
        </is>
      </c>
      <c r="G15" s="21" t="n">
        <v>780000</v>
      </c>
      <c r="H15" s="20" t="inlineStr">
        <is>
          <t>Qualified</t>
        </is>
      </c>
      <c r="I15" s="30" t="n">
        <v>46304</v>
      </c>
      <c r="J15" s="30" t="n">
        <v>46316</v>
      </c>
      <c r="K15" s="29" t="inlineStr">
        <is>
          <t>VP Risk approved technical scope for C-suite and leadership background due diligence.</t>
        </is>
      </c>
    </row>
    <row r="16" ht="20" customHeight="1">
      <c r="A16" s="28" t="inlineStr">
        <is>
          <t>L-1015</t>
        </is>
      </c>
      <c r="B16" s="29" t="inlineStr">
        <is>
          <t>Divya Sundaram</t>
        </is>
      </c>
      <c r="C16" s="29" t="inlineStr">
        <is>
          <t>Shadowfax Technologies</t>
        </is>
      </c>
      <c r="D16" s="20" t="inlineStr">
        <is>
          <t>+91 98455 33221</t>
        </is>
      </c>
      <c r="E16" s="20" t="inlineStr">
        <is>
          <t>LinkedIn</t>
        </is>
      </c>
      <c r="F16" s="29" t="inlineStr">
        <is>
          <t>Digital Address Verification</t>
        </is>
      </c>
      <c r="G16" s="21" t="n">
        <v>1300000</v>
      </c>
      <c r="H16" s="20" t="inlineStr">
        <is>
          <t>Contacted</t>
        </is>
      </c>
      <c r="I16" s="30" t="n">
        <v>46306</v>
      </c>
      <c r="J16" s="30" t="n">
        <v>46313</v>
      </c>
      <c r="K16" s="29" t="inlineStr">
        <is>
          <t>Spoke with Logistics Partner Operations Manager; sent comparative turnaround-time (TAT) performance report.</t>
        </is>
      </c>
    </row>
    <row r="17" ht="20" customHeight="1">
      <c r="A17" s="28" t="inlineStr">
        <is>
          <t>L-1016</t>
        </is>
      </c>
      <c r="B17" s="29" t="inlineStr">
        <is>
          <t>Nitin Saxena</t>
        </is>
      </c>
      <c r="C17" s="29" t="inlineStr">
        <is>
          <t>Ather Energy</t>
        </is>
      </c>
      <c r="D17" s="20" t="inlineStr">
        <is>
          <t>+91 98212 99001</t>
        </is>
      </c>
      <c r="E17" s="20" t="inlineStr">
        <is>
          <t>Email</t>
        </is>
      </c>
      <c r="F17" s="29" t="inlineStr">
        <is>
          <t>Vendor Due Diligence</t>
        </is>
      </c>
      <c r="G17" s="21" t="n">
        <v>520000</v>
      </c>
      <c r="H17" s="20" t="inlineStr">
        <is>
          <t>Lost</t>
        </is>
      </c>
      <c r="I17" s="30" t="n">
        <v>46290</v>
      </c>
      <c r="J17" s="30" t="n"/>
      <c r="K17" s="29" t="inlineStr">
        <is>
          <t>Decided to renew with incumbent local vendor citing multi-year volume commitment lock-in.</t>
        </is>
      </c>
    </row>
    <row r="18" ht="20" customHeight="1">
      <c r="A18" s="28" t="inlineStr">
        <is>
          <t>L-1017</t>
        </is>
      </c>
      <c r="B18" s="29" t="inlineStr">
        <is>
          <t>Swati Deshmukh</t>
        </is>
      </c>
      <c r="C18" s="29" t="inlineStr">
        <is>
          <t>Meesho Online Marketplace</t>
        </is>
      </c>
      <c r="D18" s="20" t="inlineStr">
        <is>
          <t>+91 98104 12345</t>
        </is>
      </c>
      <c r="E18" s="20" t="inlineStr">
        <is>
          <t>Website</t>
        </is>
      </c>
      <c r="F18" s="29" t="inlineStr">
        <is>
          <t>Instant KYC &amp; Digital ID Suite</t>
        </is>
      </c>
      <c r="G18" s="21" t="n">
        <v>2400000</v>
      </c>
      <c r="H18" s="20" t="inlineStr">
        <is>
          <t>Interested</t>
        </is>
      </c>
      <c r="I18" s="30" t="n">
        <v>46309</v>
      </c>
      <c r="J18" s="30" t="n">
        <v>46317</v>
      </c>
      <c r="K18" s="29" t="inlineStr">
        <is>
          <t>High volume seller onboarding verification inquiry; requested developer sandbox environment access.</t>
        </is>
      </c>
    </row>
    <row r="19" ht="20" customHeight="1">
      <c r="A19" s="28" t="inlineStr">
        <is>
          <t>L-1018</t>
        </is>
      </c>
      <c r="B19" s="29" t="inlineStr">
        <is>
          <t>Gaurav Chopra</t>
        </is>
      </c>
      <c r="C19" s="29" t="inlineStr">
        <is>
          <t>Nykaa E-Retail Ltd</t>
        </is>
      </c>
      <c r="D19" s="20" t="inlineStr">
        <is>
          <t>+91 98765 43210</t>
        </is>
      </c>
      <c r="E19" s="20" t="inlineStr">
        <is>
          <t>LinkedIn</t>
        </is>
      </c>
      <c r="F19" s="29" t="inlineStr">
        <is>
          <t>Employee Background Verification</t>
        </is>
      </c>
      <c r="G19" s="21" t="n">
        <v>1150000</v>
      </c>
      <c r="H19" s="20" t="inlineStr">
        <is>
          <t>New Lead</t>
        </is>
      </c>
      <c r="I19" s="30" t="n">
        <v>46312</v>
      </c>
      <c r="J19" s="30" t="n">
        <v>46315</v>
      </c>
      <c r="K19" s="29" t="inlineStr">
        <is>
          <t>Connected with Assistant Director HR on LinkedIn; preparing customized corporate presentation deck.</t>
        </is>
      </c>
    </row>
    <row r="20" ht="20" customHeight="1">
      <c r="A20" s="28" t="inlineStr">
        <is>
          <t>L-1019</t>
        </is>
      </c>
      <c r="B20" s="29" t="inlineStr">
        <is>
          <t>Meghna Sen</t>
        </is>
      </c>
      <c r="C20" s="29" t="inlineStr">
        <is>
          <t>Spinny Car Hub</t>
        </is>
      </c>
      <c r="D20" s="20" t="inlineStr">
        <is>
          <t>+91 99201 88223</t>
        </is>
      </c>
      <c r="E20" s="20" t="inlineStr">
        <is>
          <t>Cold Call</t>
        </is>
      </c>
      <c r="F20" s="29" t="inlineStr">
        <is>
          <t>Criminal &amp; Court Records Search</t>
        </is>
      </c>
      <c r="G20" s="21" t="n">
        <v>600000</v>
      </c>
      <c r="H20" s="20" t="inlineStr">
        <is>
          <t>Contacted</t>
        </is>
      </c>
      <c r="I20" s="30" t="n">
        <v>46307</v>
      </c>
      <c r="J20" s="30" t="n">
        <v>46311</v>
      </c>
      <c r="K20" s="29" t="inlineStr">
        <is>
          <t>Follow-up call scheduled regarding driver and vehicle inspector background checks.</t>
        </is>
      </c>
    </row>
    <row r="21" ht="20" customHeight="1">
      <c r="A21" s="28" t="inlineStr">
        <is>
          <t>L-1020</t>
        </is>
      </c>
      <c r="B21" s="29" t="inlineStr">
        <is>
          <t>Rahul Kulkarni</t>
        </is>
      </c>
      <c r="C21" s="29" t="inlineStr">
        <is>
          <t>PolicyBazaar Insurance</t>
        </is>
      </c>
      <c r="D21" s="20" t="inlineStr">
        <is>
          <t>+91 98180 55443</t>
        </is>
      </c>
      <c r="E21" s="20" t="inlineStr">
        <is>
          <t>Email</t>
        </is>
      </c>
      <c r="F21" s="29" t="inlineStr">
        <is>
          <t>AML &amp; Financial Sanctions Screening</t>
        </is>
      </c>
      <c r="G21" s="21" t="n">
        <v>1400000</v>
      </c>
      <c r="H21" s="20" t="inlineStr">
        <is>
          <t>New Lead</t>
        </is>
      </c>
      <c r="I21" s="30" t="n">
        <v>46313</v>
      </c>
      <c r="J21" s="30" t="n">
        <v>46318</v>
      </c>
      <c r="K21" s="29" t="inlineStr">
        <is>
          <t>Outbound BDR sequence initiated focusing on IRDAI anti-fraud compliance and agent onboarding rules.</t>
        </is>
      </c>
    </row>
  </sheetData>
  <conditionalFormatting sqref="H2:H100">
    <cfRule type="cellIs" priority="1" operator="equal" dxfId="0" stopIfTrue="1">
      <formula>"Converted"</formula>
    </cfRule>
    <cfRule type="cellIs" priority="2" operator="equal" dxfId="1" stopIfTrue="1">
      <formula>"Lost"</formula>
    </cfRule>
  </conditionalFormatting>
  <conditionalFormatting sqref="J2:J100">
    <cfRule type="expression" priority="3" dxfId="2" stopIfTrue="0">
      <formula>AND(ISNUMBER(J2), J2&lt;TODAY(), H2&lt;&gt;"Converted", H2&lt;&gt;"Lost")</formula>
    </cfRule>
  </conditionalFormatting>
  <dataValidations count="2">
    <dataValidation sqref="E2:E100" showDropDown="0" showInputMessage="1" showErrorMessage="1" allowBlank="1" errorTitle="Invalid Lead Source" error="Please select a valid Lead Source from the dropdown list." promptTitle="Lead Source" prompt="Choose the lead acquisition channel." type="list">
      <formula1>"LinkedIn,Email,Cold Call,Referral,Website"</formula1>
    </dataValidation>
    <dataValidation sqref="H2:H100" showDropDown="0" showInputMessage="1" showErrorMessage="1" allowBlank="1" errorTitle="Invalid Lead Status" error="Please select a valid Lead Status from the dropdown list." promptTitle="Lead Status" prompt="Select current sales pipeline stage." type="list">
      <formula1>"New Lead,Contacted,Interested,Qualified,Meeting Scheduled,Proposal Sent,Converted,Lost"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3" customWidth="1" min="12" max="12"/>
  </cols>
  <sheetData>
    <row r="2" ht="36" customHeight="1">
      <c r="B2" s="1" t="inlineStr">
        <is>
          <t>SYSTEM DOCUMENTATION &amp; BDR USER MANUAL</t>
        </is>
      </c>
    </row>
    <row r="3" ht="20" customHeight="1">
      <c r="B3" s="2" t="inlineStr">
        <is>
          <t>Operating Manual for Prospective Account Tracking, Qualification, Pipeline Hygiene, and Analytics</t>
        </is>
      </c>
    </row>
    <row r="5" ht="24" customHeight="1">
      <c r="B5" s="31" t="inlineStr">
        <is>
          <t>1. PURPOSE &amp; WORKBOOK ARCHITECTURE</t>
        </is>
      </c>
    </row>
    <row r="6" ht="28" customHeight="1">
      <c r="B6" s="32" t="inlineStr">
        <is>
          <t>Project Objective &amp; Purpose</t>
        </is>
      </c>
      <c r="C6" s="7" t="n"/>
      <c r="D6" s="33" t="inlineStr">
        <is>
          <t>Developed as an executive sales operations portfolio project for the Business Development Representative (BDR) Intern application at AuthBridge Research Services Pvt. Ltd. Demonstrates full-cycle prospecting management, pipeline analytics, and data hygiene.</t>
        </is>
      </c>
      <c r="E6" s="7" t="n"/>
      <c r="F6" s="7" t="n"/>
      <c r="G6" s="7" t="n"/>
      <c r="H6" s="7" t="n"/>
      <c r="I6" s="7" t="n"/>
      <c r="J6" s="7" t="n"/>
      <c r="K6" s="7" t="n"/>
    </row>
    <row r="7" ht="28" customHeight="1">
      <c r="B7" s="32" t="inlineStr">
        <is>
          <t>B2B Verification Domain Fit</t>
        </is>
      </c>
      <c r="C7" s="7" t="n"/>
      <c r="D7" s="33" t="inlineStr">
        <is>
          <t>Tailored to AuthBridge's product suite: Employee Background Verification (BGV), Instant KYC &amp; Digital ID, Workforce/Blue-Collar Screening, Vendor Due Diligence, Criminal &amp; Court Records Search, and API Integrations.</t>
        </is>
      </c>
      <c r="E7" s="7" t="n"/>
      <c r="F7" s="7" t="n"/>
      <c r="G7" s="7" t="n"/>
      <c r="H7" s="7" t="n"/>
      <c r="I7" s="7" t="n"/>
      <c r="J7" s="7" t="n"/>
      <c r="K7" s="7" t="n"/>
    </row>
    <row r="8" ht="28" customHeight="1">
      <c r="B8" s="32" t="inlineStr">
        <is>
          <t>Architecture &amp; Three Sheets</t>
        </is>
      </c>
      <c r="C8" s="7" t="n"/>
      <c r="D8" s="33" t="inlineStr">
        <is>
          <t>• 'Dashboard': Executive summary KPIs, stage funnel mini-cards, distribution tables, and dynamic charts.
• 'Lead Tracker': Transactional Excel table featuring data validation, conditional formatting, and autofilters.
• 'Instructions': Standard operating procedures, BANT framework, and KPI glossary.</t>
        </is>
      </c>
      <c r="E8" s="7" t="n"/>
      <c r="F8" s="7" t="n"/>
      <c r="G8" s="7" t="n"/>
      <c r="H8" s="7" t="n"/>
      <c r="I8" s="7" t="n"/>
      <c r="J8" s="7" t="n"/>
      <c r="K8" s="7" t="n"/>
    </row>
    <row r="10" ht="24" customHeight="1">
      <c r="B10" s="31" t="inlineStr">
        <is>
          <t>2. HOW TO USE THE LEAD TRACKER (DAILY BDR WORKFLOW)</t>
        </is>
      </c>
    </row>
    <row r="11" ht="28" customHeight="1">
      <c r="B11" s="32" t="inlineStr">
        <is>
          <t>Step 1: Adding a Prospective Lead</t>
        </is>
      </c>
      <c r="C11" s="7" t="n"/>
      <c r="D11" s="33" t="inlineStr">
        <is>
          <t>Open 'Lead Tracker'. Add a new row to the table. Assign a sequential Lead ID (e.g. L-1021), enter Customer Name, Company Name, and Contact Number. The Excel table automatically expands formatting and formulas.</t>
        </is>
      </c>
      <c r="E11" s="7" t="n"/>
      <c r="F11" s="7" t="n"/>
      <c r="G11" s="7" t="n"/>
      <c r="H11" s="7" t="n"/>
      <c r="I11" s="7" t="n"/>
      <c r="J11" s="7" t="n"/>
      <c r="K11" s="7" t="n"/>
    </row>
    <row r="12" ht="28" customHeight="1">
      <c r="B12" s="32" t="inlineStr">
        <is>
          <t>Step 2: Assigning Lead Source &amp; Service</t>
        </is>
      </c>
      <c r="C12" s="7" t="n"/>
      <c r="D12" s="33" t="inlineStr">
        <is>
          <t>Select the channel from the dropdown (LinkedIn, Email, Cold Call, Referral, Website). Enter the specific AuthBridge solution and estimated contract budget in INR (₹).</t>
        </is>
      </c>
      <c r="E12" s="7" t="n"/>
      <c r="F12" s="7" t="n"/>
      <c r="G12" s="7" t="n"/>
      <c r="H12" s="7" t="n"/>
      <c r="I12" s="7" t="n"/>
      <c r="J12" s="7" t="n"/>
      <c r="K12" s="7" t="n"/>
    </row>
    <row r="13" ht="28" customHeight="1">
      <c r="B13" s="32" t="inlineStr">
        <is>
          <t>Step 3: Managing Pipeline Status</t>
        </is>
      </c>
      <c r="C13" s="7" t="n"/>
      <c r="D13" s="33" t="inlineStr">
        <is>
          <t>Update Lead Status as discussions advance: New Lead -&gt; Contacted -&gt; Interested -&gt; Qualified -&gt; Meeting Scheduled -&gt; Proposal Sent -&gt; Converted / Lost. Always select from the dropdown to ensure dashboard accuracy.</t>
        </is>
      </c>
      <c r="E13" s="7" t="n"/>
      <c r="F13" s="7" t="n"/>
      <c r="G13" s="7" t="n"/>
      <c r="H13" s="7" t="n"/>
      <c r="I13" s="7" t="n"/>
      <c r="J13" s="7" t="n"/>
      <c r="K13" s="7" t="n"/>
    </row>
    <row r="14" ht="28" customHeight="1">
      <c r="B14" s="32" t="inlineStr">
        <is>
          <t>Step 4: Scheduling Follow-ups</t>
        </is>
      </c>
      <c r="C14" s="7" t="n"/>
      <c r="D14" s="33" t="inlineStr">
        <is>
          <t>Enter 'Last Contact Date' and 'Next Follow-up Date' (format: YYYY-MM-DD). If a follow-up date passes without an update, the cell triggers an automated visual alert and increments the Overdue KPI on the Dashboard.</t>
        </is>
      </c>
      <c r="E14" s="7" t="n"/>
      <c r="F14" s="7" t="n"/>
      <c r="G14" s="7" t="n"/>
      <c r="H14" s="7" t="n"/>
      <c r="I14" s="7" t="n"/>
      <c r="J14" s="7" t="n"/>
      <c r="K14" s="7" t="n"/>
    </row>
    <row r="16" ht="24" customHeight="1">
      <c r="B16" s="31" t="inlineStr">
        <is>
          <t>3. DATA VALIDATION &amp; DROPDOWN GLOSSARY</t>
        </is>
      </c>
    </row>
    <row r="17" ht="28" customHeight="1">
      <c r="B17" s="32" t="inlineStr">
        <is>
          <t>Lead Source Dropdown</t>
        </is>
      </c>
      <c r="C17" s="7" t="n"/>
      <c r="D17" s="33" t="inlineStr">
        <is>
          <t>• LinkedIn: Targeted InMail &amp; social selling to HR/Risk heads.
• Email: Cold outbound email campaigns &amp; sequences.
• Cold Call: Direct telephone outreach to key decision makers.
• Referral: Inbound introductions from clients or business partners.
• Website: Inbound demo requests and enterprise contact forms.</t>
        </is>
      </c>
      <c r="E17" s="7" t="n"/>
      <c r="F17" s="7" t="n"/>
      <c r="G17" s="7" t="n"/>
      <c r="H17" s="7" t="n"/>
      <c r="I17" s="7" t="n"/>
      <c r="J17" s="7" t="n"/>
      <c r="K17" s="7" t="n"/>
    </row>
    <row r="18" ht="28" customHeight="1">
      <c r="B18" s="32" t="inlineStr">
        <is>
          <t>Lead Status Progression</t>
        </is>
      </c>
      <c r="C18" s="7" t="n"/>
      <c r="D18" s="33" t="inlineStr">
        <is>
          <t>• New Lead: Uncontacted prospect identified from industry research.
• Contacted: Initial touchpoint made; awaiting prospect response.
• Interested: Prospect expressed interest in AuthBridge capabilities.
• Qualified: Passed BANT criteria (Budget, Authority, Need, Timeline).
• Meeting Scheduled: Technical discovery or product demo booked.
• Proposal Sent: Commercial quotation and SLA proposal shared.
• Converted: Contract signed / closed-won customer account.
• Lost: Disqualified, deal lost to competitor, or cancelled project.</t>
        </is>
      </c>
      <c r="E18" s="7" t="n"/>
      <c r="F18" s="7" t="n"/>
      <c r="G18" s="7" t="n"/>
      <c r="H18" s="7" t="n"/>
      <c r="I18" s="7" t="n"/>
      <c r="J18" s="7" t="n"/>
      <c r="K18" s="7" t="n"/>
    </row>
    <row r="19" ht="28" customHeight="1">
      <c r="B19" s="32" t="inlineStr">
        <is>
          <t>Input Protection</t>
        </is>
      </c>
      <c r="C19" s="7" t="n"/>
      <c r="D19" s="33" t="inlineStr">
        <is>
          <t>In-cell data validation restricts values to authorized options, eliminating spelling errors that could distort analytics.</t>
        </is>
      </c>
      <c r="E19" s="7" t="n"/>
      <c r="F19" s="7" t="n"/>
      <c r="G19" s="7" t="n"/>
      <c r="H19" s="7" t="n"/>
      <c r="I19" s="7" t="n"/>
      <c r="J19" s="7" t="n"/>
      <c r="K19" s="7" t="n"/>
    </row>
    <row r="21" ht="24" customHeight="1">
      <c r="B21" s="31" t="inlineStr">
        <is>
          <t>4. CONDITIONAL FORMATTING LOGIC &amp; VISUAL ALERTS</t>
        </is>
      </c>
    </row>
    <row r="22" ht="28" customHeight="1">
      <c r="B22" s="32" t="inlineStr">
        <is>
          <t>Overdue Follow-up Alert (Red)</t>
        </is>
      </c>
      <c r="C22" s="7" t="n"/>
      <c r="D22" s="33" t="inlineStr">
        <is>
          <t>Highlights Next Follow-up Date in soft coral with bold red text if: Next Follow-up Date &lt; TODAY() AND Status is not 'Converted' or 'Lost'. Serves as an immediate prompt to contact the client.</t>
        </is>
      </c>
      <c r="E22" s="7" t="n"/>
      <c r="F22" s="7" t="n"/>
      <c r="G22" s="7" t="n"/>
      <c r="H22" s="7" t="n"/>
      <c r="I22" s="7" t="n"/>
      <c r="J22" s="7" t="n"/>
      <c r="K22" s="7" t="n"/>
    </row>
    <row r="23" ht="28" customHeight="1">
      <c r="B23" s="32" t="inlineStr">
        <is>
          <t>Converted Lead Highlight (Green)</t>
        </is>
      </c>
      <c r="C23" s="7" t="n"/>
      <c r="D23" s="33" t="inlineStr">
        <is>
          <t>Highlights the Lead Status cell in soft mint green when marked 'Converted', providing instant visual feedback for closed-won revenue.</t>
        </is>
      </c>
      <c r="E23" s="7" t="n"/>
      <c r="F23" s="7" t="n"/>
      <c r="G23" s="7" t="n"/>
      <c r="H23" s="7" t="n"/>
      <c r="I23" s="7" t="n"/>
      <c r="J23" s="7" t="n"/>
      <c r="K23" s="7" t="n"/>
    </row>
    <row r="24" ht="28" customHeight="1">
      <c r="B24" s="32" t="inlineStr">
        <is>
          <t>Lost Lead Highlight (Gray)</t>
        </is>
      </c>
      <c r="C24" s="7" t="n"/>
      <c r="D24" s="33" t="inlineStr">
        <is>
          <t>Formats the Lead Status cell in soft neutral gray when marked 'Lost' to indicate inactive deals without cluttering the active pipeline.</t>
        </is>
      </c>
      <c r="E24" s="7" t="n"/>
      <c r="F24" s="7" t="n"/>
      <c r="G24" s="7" t="n"/>
      <c r="H24" s="7" t="n"/>
      <c r="I24" s="7" t="n"/>
      <c r="J24" s="7" t="n"/>
      <c r="K24" s="7" t="n"/>
    </row>
    <row r="25" ht="28" customHeight="1">
      <c r="B25" s="32" t="inlineStr">
        <is>
          <t>Handling Closed Leads</t>
        </is>
      </c>
      <c r="C25" s="7" t="n"/>
      <c r="D25" s="33" t="inlineStr">
        <is>
          <t>For Converted or Lost accounts, leave the 'Next Follow-up Date' empty. The alert formula ignores blank cells.</t>
        </is>
      </c>
      <c r="E25" s="7" t="n"/>
      <c r="F25" s="7" t="n"/>
      <c r="G25" s="7" t="n"/>
      <c r="H25" s="7" t="n"/>
      <c r="I25" s="7" t="n"/>
      <c r="J25" s="7" t="n"/>
      <c r="K25" s="7" t="n"/>
    </row>
    <row r="27" ht="24" customHeight="1">
      <c r="B27" s="31" t="inlineStr">
        <is>
          <t>5. DASHBOARD FORMULA &amp; ANALYTICS REFERENCE</t>
        </is>
      </c>
    </row>
    <row r="28" ht="28" customHeight="1">
      <c r="B28" s="32" t="inlineStr">
        <is>
          <t>Total Leads</t>
        </is>
      </c>
      <c r="C28" s="7" t="n"/>
      <c r="D28" s="33">
        <f>COUNTA('Lead Tracker'!A2:A21). Total number of prospective accounts logged in the tracker.</f>
        <v/>
      </c>
      <c r="E28" s="7" t="n"/>
      <c r="F28" s="7" t="n"/>
      <c r="G28" s="7" t="n"/>
      <c r="H28" s="7" t="n"/>
      <c r="I28" s="7" t="n"/>
      <c r="J28" s="7" t="n"/>
      <c r="K28" s="7" t="n"/>
    </row>
    <row r="29" ht="28" customHeight="1">
      <c r="B29" s="32" t="inlineStr">
        <is>
          <t>Total Potential Pipeline Value</t>
        </is>
      </c>
      <c r="C29" s="7" t="n"/>
      <c r="D29" s="33">
        <f>SUMIF('Lead Tracker'!H2:H21, "&lt;&gt;Lost", 'Lead Tracker'!G2:G21). Total active monetary pipeline excluding closed-lost deals.</f>
        <v/>
      </c>
      <c r="E29" s="7" t="n"/>
      <c r="F29" s="7" t="n"/>
      <c r="G29" s="7" t="n"/>
      <c r="H29" s="7" t="n"/>
      <c r="I29" s="7" t="n"/>
      <c r="J29" s="7" t="n"/>
      <c r="K29" s="7" t="n"/>
    </row>
    <row r="30" ht="28" customHeight="1">
      <c r="B30" s="32" t="inlineStr">
        <is>
          <t>Conversion Rate %</t>
        </is>
      </c>
      <c r="C30" s="7" t="n"/>
      <c r="D30" s="33">
        <f>COUNTIF('Lead Tracker'!H2:H21, "Converted")/COUNTA('Lead Tracker'!A2:A21). Closed-won deal percentage.</f>
        <v/>
      </c>
      <c r="E30" s="7" t="n"/>
      <c r="F30" s="7" t="n"/>
      <c r="G30" s="7" t="n"/>
      <c r="H30" s="7" t="n"/>
      <c r="I30" s="7" t="n"/>
      <c r="J30" s="7" t="n"/>
      <c r="K30" s="7" t="n"/>
    </row>
    <row r="31" ht="28" customHeight="1">
      <c r="B31" s="32" t="inlineStr">
        <is>
          <t>Overdue Follow-ups Count</t>
        </is>
      </c>
      <c r="C31" s="7" t="n"/>
      <c r="D31" s="33">
        <f>COUNTIFS('Lead Tracker'!J2:J21, "&lt;"&amp;TODAY(), 'Lead Tracker'!J2:J21, "&gt;0", 'Lead Tracker'!H2:H21, "&lt;&gt;Converted", 'Lead Tracker'!H2:H21, "&lt;&gt;Lost"). Real-time count of leads requiring urgent outreach today.</f>
        <v/>
      </c>
      <c r="E31" s="7" t="n"/>
      <c r="F31" s="7" t="n"/>
      <c r="G31" s="7" t="n"/>
      <c r="H31" s="7" t="n"/>
      <c r="I31" s="7" t="n"/>
      <c r="J31" s="7" t="n"/>
      <c r="K31" s="7" t="n"/>
    </row>
    <row r="32" ht="28" customHeight="1">
      <c r="B32" s="32" t="inlineStr">
        <is>
          <t>Interactive Charts</t>
        </is>
      </c>
      <c r="C32" s="7" t="n"/>
      <c r="D32" s="33" t="inlineStr">
        <is>
          <t>• Chart 1 (Doughnut): Proportional distribution of leads across all 8 pipeline stages.
• Chart 2 (Column): Total pipeline monetary value (INR) mapped across each stage.</t>
        </is>
      </c>
      <c r="E32" s="7" t="n"/>
      <c r="F32" s="7" t="n"/>
      <c r="G32" s="7" t="n"/>
      <c r="H32" s="7" t="n"/>
      <c r="I32" s="7" t="n"/>
      <c r="J32" s="7" t="n"/>
      <c r="K32" s="7" t="n"/>
    </row>
    <row r="34" ht="24" customHeight="1">
      <c r="B34" s="31" t="inlineStr">
        <is>
          <t>6. BDR SALES PLAYBOOK &amp; BANT QUALIFICATION (AUTHBRIDGE)</t>
        </is>
      </c>
    </row>
    <row r="35" ht="28" customHeight="1">
      <c r="B35" s="32" t="inlineStr">
        <is>
          <t>Budget (B)</t>
        </is>
      </c>
      <c r="C35" s="7" t="n"/>
      <c r="D35" s="33" t="inlineStr">
        <is>
          <t>Validate annual spend capability. (AuthBridge enterprise verification packages typically range from ₹3,00,000 to ₹35,00,000+ depending on volume).</t>
        </is>
      </c>
      <c r="E35" s="7" t="n"/>
      <c r="F35" s="7" t="n"/>
      <c r="G35" s="7" t="n"/>
      <c r="H35" s="7" t="n"/>
      <c r="I35" s="7" t="n"/>
      <c r="J35" s="7" t="n"/>
      <c r="K35" s="7" t="n"/>
    </row>
    <row r="36" ht="28" customHeight="1">
      <c r="B36" s="32" t="inlineStr">
        <is>
          <t>Authority (A)</t>
        </is>
      </c>
      <c r="C36" s="7" t="n"/>
      <c r="D36" s="33" t="inlineStr">
        <is>
          <t>Engage primary decision-makers: VP/Director of Talent Acquisition, Chief Risk Officer (CRO), Compliance Head, or Chief Technology Officer (CTO).</t>
        </is>
      </c>
      <c r="E36" s="7" t="n"/>
      <c r="F36" s="7" t="n"/>
      <c r="G36" s="7" t="n"/>
      <c r="H36" s="7" t="n"/>
      <c r="I36" s="7" t="n"/>
      <c r="J36" s="7" t="n"/>
      <c r="K36" s="7" t="n"/>
    </row>
    <row r="37" ht="28" customHeight="1">
      <c r="B37" s="32" t="inlineStr">
        <is>
          <t>Need (N)</t>
        </is>
      </c>
      <c r="C37" s="7" t="n"/>
      <c r="D37" s="33" t="inlineStr">
        <is>
          <t>Uncover core verification challenges: slow turnaround time (TAT), manual verification bottlenecks, regulatory compliance (SEBI/RBI/IRDAI), or high gig-worker fraud risk.</t>
        </is>
      </c>
      <c r="E37" s="7" t="n"/>
      <c r="F37" s="7" t="n"/>
      <c r="G37" s="7" t="n"/>
      <c r="H37" s="7" t="n"/>
      <c r="I37" s="7" t="n"/>
      <c r="J37" s="7" t="n"/>
      <c r="K37" s="7" t="n"/>
    </row>
    <row r="38" ht="28" customHeight="1">
      <c r="B38" s="32" t="inlineStr">
        <is>
          <t>Timeline (T)</t>
        </is>
      </c>
      <c r="C38" s="7" t="n"/>
      <c r="D38" s="33" t="inlineStr">
        <is>
          <t>Identify hiring surge windows, incumbent vendor renewal deadlines, or target go-live dates for API integration.</t>
        </is>
      </c>
      <c r="E38" s="7" t="n"/>
      <c r="F38" s="7" t="n"/>
      <c r="G38" s="7" t="n"/>
      <c r="H38" s="7" t="n"/>
      <c r="I38" s="7" t="n"/>
      <c r="J38" s="7" t="n"/>
      <c r="K38" s="7" t="n"/>
    </row>
  </sheetData>
  <mergeCells count="54">
    <mergeCell ref="B7:C7"/>
    <mergeCell ref="B25:C25"/>
    <mergeCell ref="D19:K19"/>
    <mergeCell ref="B22:C22"/>
    <mergeCell ref="D22:K22"/>
    <mergeCell ref="B31:C31"/>
    <mergeCell ref="B18:C18"/>
    <mergeCell ref="D31:K31"/>
    <mergeCell ref="B5:K5"/>
    <mergeCell ref="B12:C12"/>
    <mergeCell ref="D36:K36"/>
    <mergeCell ref="B11:C11"/>
    <mergeCell ref="D6:K6"/>
    <mergeCell ref="D11:K11"/>
    <mergeCell ref="B23:C23"/>
    <mergeCell ref="D13:K13"/>
    <mergeCell ref="B14:C14"/>
    <mergeCell ref="B16:K16"/>
    <mergeCell ref="B17:C17"/>
    <mergeCell ref="B8:C8"/>
    <mergeCell ref="D32:K32"/>
    <mergeCell ref="B3:K3"/>
    <mergeCell ref="B13:C13"/>
    <mergeCell ref="D17:K17"/>
    <mergeCell ref="B38:C38"/>
    <mergeCell ref="B29:C29"/>
    <mergeCell ref="D7:K7"/>
    <mergeCell ref="B19:C19"/>
    <mergeCell ref="B27:K27"/>
    <mergeCell ref="B37:C37"/>
    <mergeCell ref="B21:K21"/>
    <mergeCell ref="B28:C28"/>
    <mergeCell ref="D28:K28"/>
    <mergeCell ref="B2:K2"/>
    <mergeCell ref="D37:K37"/>
    <mergeCell ref="D12:K12"/>
    <mergeCell ref="D18:K18"/>
    <mergeCell ref="B6:C6"/>
    <mergeCell ref="B24:C24"/>
    <mergeCell ref="B30:C30"/>
    <mergeCell ref="D30:K30"/>
    <mergeCell ref="D8:K8"/>
    <mergeCell ref="D25:K25"/>
    <mergeCell ref="D24:K24"/>
    <mergeCell ref="D38:K38"/>
    <mergeCell ref="B36:C36"/>
    <mergeCell ref="D14:K14"/>
    <mergeCell ref="D29:K29"/>
    <mergeCell ref="B32:C32"/>
    <mergeCell ref="D23:K23"/>
    <mergeCell ref="B34:K34"/>
    <mergeCell ref="B10:K10"/>
    <mergeCell ref="B35:C35"/>
    <mergeCell ref="D35:K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2026-10-18T14:45:14Z</dcterms:created>
  <dcterms:modified xmlns:dcterms="http://purl.org/dc/terms/" xmlns:xsi="http://www.w3.org/2001/XMLSchema-instance" xsi:type="dcterms:W3CDTF">2026-10-18T14:45:15Z</dcterms:modified>
</cp:coreProperties>
</file>